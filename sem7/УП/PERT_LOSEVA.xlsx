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SU\sem7\УП\"/>
    </mc:Choice>
  </mc:AlternateContent>
  <xr:revisionPtr revIDLastSave="0" documentId="13_ncr:1_{3AA3DC5E-4E50-49DA-827C-80917897F4D4}" xr6:coauthVersionLast="47" xr6:coauthVersionMax="47" xr10:uidLastSave="{00000000-0000-0000-0000-000000000000}"/>
  <bookViews>
    <workbookView xWindow="-108" yWindow="-108" windowWidth="23256" windowHeight="12576" xr2:uid="{0687791A-B7EA-40BB-8F73-D915530CC01B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4" i="1" l="1"/>
  <c r="H18" i="1" s="1"/>
  <c r="B24" i="1"/>
  <c r="N13" i="1" s="1"/>
  <c r="O13" i="1" s="1"/>
  <c r="B19" i="1"/>
  <c r="N7" i="1" s="1"/>
  <c r="O7" i="1" s="1"/>
  <c r="O3" i="1"/>
  <c r="O5" i="1"/>
  <c r="O6" i="1"/>
  <c r="O2" i="1"/>
  <c r="N6" i="1"/>
  <c r="N2" i="1"/>
  <c r="N5" i="1"/>
  <c r="N3" i="1"/>
  <c r="H17" i="1"/>
  <c r="H16" i="1"/>
  <c r="B18" i="1"/>
  <c r="I6" i="1" s="1"/>
  <c r="J3" i="1"/>
  <c r="J4" i="1"/>
  <c r="J5" i="1"/>
  <c r="J2" i="1"/>
  <c r="I5" i="1"/>
  <c r="I4" i="1"/>
  <c r="I3" i="1"/>
  <c r="I2" i="1"/>
  <c r="B17" i="1"/>
  <c r="H3" i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  <c r="F3" i="1"/>
  <c r="F4" i="1"/>
  <c r="F5" i="1"/>
  <c r="F6" i="1"/>
  <c r="F7" i="1"/>
  <c r="F8" i="1"/>
  <c r="F9" i="1"/>
  <c r="F10" i="1"/>
  <c r="F11" i="1"/>
  <c r="F12" i="1"/>
  <c r="F13" i="1"/>
  <c r="F2" i="1"/>
  <c r="C23" i="1" l="1"/>
  <c r="C20" i="1"/>
  <c r="L6" i="1" s="1"/>
  <c r="K6" i="1" s="1"/>
  <c r="L12" i="1"/>
  <c r="K12" i="1" s="1"/>
  <c r="L13" i="1"/>
  <c r="K13" i="1" s="1"/>
  <c r="L11" i="1"/>
  <c r="K11" i="1" s="1"/>
  <c r="C17" i="1"/>
  <c r="L10" i="1"/>
  <c r="K10" i="1" s="1"/>
  <c r="C22" i="1"/>
  <c r="L9" i="1" s="1"/>
  <c r="K9" i="1" s="1"/>
  <c r="N12" i="1"/>
  <c r="N4" i="1"/>
  <c r="O4" i="1" s="1"/>
  <c r="J6" i="1"/>
  <c r="M6" i="1"/>
  <c r="I7" i="1"/>
  <c r="B20" i="1"/>
  <c r="L5" i="1" l="1"/>
  <c r="C21" i="1"/>
  <c r="L8" i="1" s="1"/>
  <c r="K8" i="1" s="1"/>
  <c r="M5" i="1"/>
  <c r="K5" i="1"/>
  <c r="L2" i="1"/>
  <c r="I13" i="1"/>
  <c r="B21" i="1"/>
  <c r="N8" i="1" s="1"/>
  <c r="O8" i="1" s="1"/>
  <c r="I8" i="1"/>
  <c r="J7" i="1"/>
  <c r="C19" i="1" l="1"/>
  <c r="C18" i="1" s="1"/>
  <c r="L4" i="1"/>
  <c r="K2" i="1"/>
  <c r="M2" i="1"/>
  <c r="J8" i="1"/>
  <c r="M8" i="1"/>
  <c r="I9" i="1"/>
  <c r="B22" i="1"/>
  <c r="I10" i="1"/>
  <c r="M13" i="1"/>
  <c r="J13" i="1"/>
  <c r="L7" i="1" l="1"/>
  <c r="K7" i="1"/>
  <c r="M7" i="1"/>
  <c r="L3" i="1"/>
  <c r="K4" i="1"/>
  <c r="M4" i="1"/>
  <c r="I11" i="1"/>
  <c r="M11" i="1" s="1"/>
  <c r="N9" i="1"/>
  <c r="O9" i="1" s="1"/>
  <c r="J11" i="1"/>
  <c r="J9" i="1"/>
  <c r="M9" i="1"/>
  <c r="M10" i="1"/>
  <c r="J10" i="1"/>
  <c r="B23" i="1"/>
  <c r="M3" i="1" l="1"/>
  <c r="K3" i="1"/>
  <c r="N10" i="1"/>
  <c r="O10" i="1" s="1"/>
  <c r="N11" i="1"/>
  <c r="O11" i="1" s="1"/>
  <c r="I12" i="1"/>
  <c r="O12" i="1" s="1"/>
  <c r="M12" i="1" l="1"/>
  <c r="J12" i="1"/>
</calcChain>
</file>

<file path=xl/sharedStrings.xml><?xml version="1.0" encoding="utf-8"?>
<sst xmlns="http://schemas.openxmlformats.org/spreadsheetml/2006/main" count="20" uniqueCount="20">
  <si>
    <t>Раннее начало</t>
  </si>
  <si>
    <t>Ранний конец</t>
  </si>
  <si>
    <t>Позднее начало</t>
  </si>
  <si>
    <t>Поздний конец</t>
  </si>
  <si>
    <t>Полный резерв</t>
  </si>
  <si>
    <t>Раннее</t>
  </si>
  <si>
    <t>Позднее</t>
  </si>
  <si>
    <t>tпес</t>
  </si>
  <si>
    <t>tвер</t>
  </si>
  <si>
    <t>tопт</t>
  </si>
  <si>
    <t>tожид</t>
  </si>
  <si>
    <t>Ст. откл.</t>
  </si>
  <si>
    <t>Дисп.</t>
  </si>
  <si>
    <t>Ран вр послед</t>
  </si>
  <si>
    <t>Свобод резерв</t>
  </si>
  <si>
    <t>4,5,8</t>
  </si>
  <si>
    <t>Крайний срок</t>
  </si>
  <si>
    <t>Дисперсия  прод. Проекта</t>
  </si>
  <si>
    <t>Стандартное отклонение</t>
  </si>
  <si>
    <t>Вероятность успеть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</si>
</sst>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531218</xdr:colOff>
      <xdr:row>13</xdr:row>
      <xdr:rowOff>30614</xdr:rowOff>
    </xdr:from>
    <xdr:to>
      <xdr:col>16</xdr:col>
      <xdr:colOff>422351</xdr:colOff>
      <xdr:row>24</xdr:row>
      <xdr:rowOff>6224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5A545C35-7F0C-4C04-AFB4-7515A24F7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789854" y="3032432"/>
          <a:ext cx="3308588" cy="2515610"/>
        </a:xfrm>
        <a:prstGeom prst="rect">
          <a:avLst/>
        </a:prstGeom>
      </xdr:spPr>
    </xdr:pic>
    <xdr:clientData/>
  </xdr:twoCellAnchor>
  <xdr:twoCellAnchor editAs="oneCell">
    <xdr:from>
      <xdr:col>7</xdr:col>
      <xdr:colOff>1084389</xdr:colOff>
      <xdr:row>13</xdr:row>
      <xdr:rowOff>11072</xdr:rowOff>
    </xdr:from>
    <xdr:to>
      <xdr:col>13</xdr:col>
      <xdr:colOff>560023</xdr:colOff>
      <xdr:row>29</xdr:row>
      <xdr:rowOff>65581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C19C3814-B95C-4ECA-8E21-177EC5FDD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88571" y="3012890"/>
          <a:ext cx="6830088" cy="3749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69924-9AF9-4F7A-87C3-6AE9B1BDDE22}">
  <dimension ref="A1:P28"/>
  <sheetViews>
    <sheetView tabSelected="1" zoomScale="66" zoomScaleNormal="70" workbookViewId="0">
      <selection activeCell="C25" sqref="C25"/>
    </sheetView>
  </sheetViews>
  <sheetFormatPr defaultRowHeight="18" x14ac:dyDescent="0.35"/>
  <cols>
    <col min="1" max="1" width="9" style="3" bestFit="1" customWidth="1"/>
    <col min="2" max="2" width="15.77734375" style="3" bestFit="1" customWidth="1"/>
    <col min="3" max="3" width="10.6640625" style="3" bestFit="1" customWidth="1"/>
    <col min="4" max="4" width="5.77734375" style="3" bestFit="1" customWidth="1"/>
    <col min="5" max="5" width="5.5546875" style="3" bestFit="1" customWidth="1"/>
    <col min="6" max="6" width="22.6640625" style="3" bestFit="1" customWidth="1"/>
    <col min="7" max="7" width="31.33203125" style="3" bestFit="1" customWidth="1"/>
    <col min="8" max="8" width="15.77734375" style="3" bestFit="1" customWidth="1"/>
    <col min="9" max="9" width="18" style="3" bestFit="1" customWidth="1"/>
    <col min="10" max="10" width="17" style="3" bestFit="1" customWidth="1"/>
    <col min="11" max="11" width="19.33203125" style="3" bestFit="1" customWidth="1"/>
    <col min="12" max="13" width="18.5546875" style="3" bestFit="1" customWidth="1"/>
    <col min="14" max="14" width="22.6640625" style="3" bestFit="1" customWidth="1"/>
    <col min="15" max="15" width="18.21875" style="3" bestFit="1" customWidth="1"/>
    <col min="16" max="16384" width="8.88671875" style="3"/>
  </cols>
  <sheetData>
    <row r="1" spans="1:16" x14ac:dyDescent="0.35">
      <c r="A1" s="1"/>
      <c r="B1" s="1"/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13</v>
      </c>
      <c r="O1" s="1" t="s">
        <v>14</v>
      </c>
      <c r="P1" s="2"/>
    </row>
    <row r="2" spans="1:16" x14ac:dyDescent="0.35">
      <c r="A2" s="10">
        <v>1</v>
      </c>
      <c r="B2" s="11"/>
      <c r="C2" s="11">
        <v>15</v>
      </c>
      <c r="D2" s="11">
        <v>11</v>
      </c>
      <c r="E2" s="11">
        <v>3</v>
      </c>
      <c r="F2" s="11">
        <f>(C2+4*D2+E2)/6</f>
        <v>10.333333333333334</v>
      </c>
      <c r="G2" s="11">
        <f>(C2-E2)/6</f>
        <v>2</v>
      </c>
      <c r="H2" s="11">
        <f>G2*G2</f>
        <v>4</v>
      </c>
      <c r="I2" s="11">
        <f>B16</f>
        <v>0</v>
      </c>
      <c r="J2" s="11">
        <f>I2+F2</f>
        <v>10.333333333333334</v>
      </c>
      <c r="K2" s="11">
        <f>L2-F2</f>
        <v>9.1666666666666661</v>
      </c>
      <c r="L2" s="11">
        <f>C17</f>
        <v>19.5</v>
      </c>
      <c r="M2" s="11">
        <f>L2-I2-F2</f>
        <v>9.1666666666666661</v>
      </c>
      <c r="N2" s="11">
        <f>B17</f>
        <v>10.333333333333334</v>
      </c>
      <c r="O2" s="11">
        <f>N2-I2-F2</f>
        <v>0</v>
      </c>
      <c r="P2" s="2"/>
    </row>
    <row r="3" spans="1:16" x14ac:dyDescent="0.35">
      <c r="A3" s="10">
        <v>2</v>
      </c>
      <c r="B3" s="11"/>
      <c r="C3" s="11">
        <v>10</v>
      </c>
      <c r="D3" s="11">
        <v>8</v>
      </c>
      <c r="E3" s="11">
        <v>4</v>
      </c>
      <c r="F3" s="11">
        <f t="shared" ref="F3:F13" si="0">(C3+4*D3+E3)/6</f>
        <v>7.666666666666667</v>
      </c>
      <c r="G3" s="11">
        <f t="shared" ref="G3:G13" si="1">(C3-E3)/6</f>
        <v>1</v>
      </c>
      <c r="H3" s="11">
        <f t="shared" ref="H3:H13" si="2">G3*G3</f>
        <v>1</v>
      </c>
      <c r="I3" s="11">
        <f>B16</f>
        <v>0</v>
      </c>
      <c r="J3" s="11">
        <f t="shared" ref="J3:J13" si="3">I3+F3</f>
        <v>7.666666666666667</v>
      </c>
      <c r="K3" s="11">
        <f t="shared" ref="K3:K13" si="4">L3-F3</f>
        <v>0</v>
      </c>
      <c r="L3" s="11">
        <f>C18</f>
        <v>7.6666666666666679</v>
      </c>
      <c r="M3" s="11">
        <f t="shared" ref="M3:M13" si="5">L3-I3-F3</f>
        <v>0</v>
      </c>
      <c r="N3" s="11">
        <f>B18</f>
        <v>7.666666666666667</v>
      </c>
      <c r="O3" s="11">
        <f t="shared" ref="O3:O13" si="6">N3-I3-F3</f>
        <v>0</v>
      </c>
      <c r="P3" s="2"/>
    </row>
    <row r="4" spans="1:16" x14ac:dyDescent="0.35">
      <c r="A4" s="1">
        <v>3</v>
      </c>
      <c r="B4" s="4"/>
      <c r="C4" s="4">
        <v>14</v>
      </c>
      <c r="D4" s="4">
        <v>10</v>
      </c>
      <c r="E4" s="4">
        <v>2</v>
      </c>
      <c r="F4" s="8">
        <f t="shared" si="0"/>
        <v>9.3333333333333339</v>
      </c>
      <c r="G4" s="4">
        <f t="shared" si="1"/>
        <v>2</v>
      </c>
      <c r="H4" s="4">
        <f t="shared" si="2"/>
        <v>4</v>
      </c>
      <c r="I4" s="4">
        <f>B16</f>
        <v>0</v>
      </c>
      <c r="J4" s="4">
        <f t="shared" si="3"/>
        <v>9.3333333333333339</v>
      </c>
      <c r="K4" s="4">
        <f t="shared" si="4"/>
        <v>4.8333333333333339</v>
      </c>
      <c r="L4" s="4">
        <f>C19</f>
        <v>14.166666666666668</v>
      </c>
      <c r="M4" s="4">
        <f t="shared" si="5"/>
        <v>4.8333333333333339</v>
      </c>
      <c r="N4" s="4">
        <f>B19</f>
        <v>14.166666666666668</v>
      </c>
      <c r="O4" s="4">
        <f t="shared" si="6"/>
        <v>4.8333333333333339</v>
      </c>
      <c r="P4" s="2"/>
    </row>
    <row r="5" spans="1:16" x14ac:dyDescent="0.35">
      <c r="A5" s="1">
        <v>4</v>
      </c>
      <c r="B5" s="4">
        <v>1</v>
      </c>
      <c r="C5" s="4">
        <v>11</v>
      </c>
      <c r="D5" s="4">
        <v>9</v>
      </c>
      <c r="E5" s="4">
        <v>4</v>
      </c>
      <c r="F5" s="8">
        <f t="shared" si="0"/>
        <v>8.5</v>
      </c>
      <c r="G5" s="4">
        <f t="shared" si="1"/>
        <v>1.1666666666666667</v>
      </c>
      <c r="H5" s="4">
        <f t="shared" si="2"/>
        <v>1.3611111111111114</v>
      </c>
      <c r="I5" s="4">
        <f>B17</f>
        <v>10.333333333333334</v>
      </c>
      <c r="J5" s="4">
        <f t="shared" si="3"/>
        <v>18.833333333333336</v>
      </c>
      <c r="K5" s="4">
        <f t="shared" si="4"/>
        <v>19.5</v>
      </c>
      <c r="L5" s="4">
        <f>C20</f>
        <v>28</v>
      </c>
      <c r="M5" s="4">
        <f t="shared" si="5"/>
        <v>9.1666666666666643</v>
      </c>
      <c r="N5" s="4">
        <f>B20</f>
        <v>20</v>
      </c>
      <c r="O5" s="4">
        <f t="shared" si="6"/>
        <v>1.1666666666666661</v>
      </c>
      <c r="P5" s="2"/>
    </row>
    <row r="6" spans="1:16" x14ac:dyDescent="0.35">
      <c r="A6" s="10">
        <v>5</v>
      </c>
      <c r="B6" s="11">
        <v>2</v>
      </c>
      <c r="C6" s="11">
        <v>16</v>
      </c>
      <c r="D6" s="11">
        <v>13</v>
      </c>
      <c r="E6" s="11">
        <v>6</v>
      </c>
      <c r="F6" s="11">
        <f t="shared" si="0"/>
        <v>12.333333333333334</v>
      </c>
      <c r="G6" s="11">
        <f t="shared" si="1"/>
        <v>1.6666666666666667</v>
      </c>
      <c r="H6" s="11">
        <f t="shared" si="2"/>
        <v>2.7777777777777781</v>
      </c>
      <c r="I6" s="11">
        <f>B18</f>
        <v>7.666666666666667</v>
      </c>
      <c r="J6" s="11">
        <f t="shared" si="3"/>
        <v>20</v>
      </c>
      <c r="K6" s="11">
        <f t="shared" si="4"/>
        <v>15.666666666666666</v>
      </c>
      <c r="L6" s="11">
        <f>C20</f>
        <v>28</v>
      </c>
      <c r="M6" s="11">
        <f t="shared" si="5"/>
        <v>7.9999999999999982</v>
      </c>
      <c r="N6" s="11">
        <f>B20</f>
        <v>20</v>
      </c>
      <c r="O6" s="11">
        <f t="shared" si="6"/>
        <v>0</v>
      </c>
      <c r="P6" s="2"/>
    </row>
    <row r="7" spans="1:16" x14ac:dyDescent="0.35">
      <c r="A7" s="10">
        <v>6</v>
      </c>
      <c r="B7" s="11">
        <v>2</v>
      </c>
      <c r="C7" s="11">
        <v>9</v>
      </c>
      <c r="D7" s="11">
        <v>7</v>
      </c>
      <c r="E7" s="11">
        <v>2</v>
      </c>
      <c r="F7" s="11">
        <f t="shared" si="0"/>
        <v>6.5</v>
      </c>
      <c r="G7" s="11">
        <f t="shared" si="1"/>
        <v>1.1666666666666667</v>
      </c>
      <c r="H7" s="11">
        <f t="shared" si="2"/>
        <v>1.3611111111111114</v>
      </c>
      <c r="I7" s="11">
        <f>B18</f>
        <v>7.666666666666667</v>
      </c>
      <c r="J7" s="11">
        <f t="shared" si="3"/>
        <v>14.166666666666668</v>
      </c>
      <c r="K7" s="11">
        <f t="shared" si="4"/>
        <v>7.6666666666666679</v>
      </c>
      <c r="L7" s="11">
        <f>C19</f>
        <v>14.166666666666668</v>
      </c>
      <c r="M7" s="11">
        <f t="shared" si="5"/>
        <v>0</v>
      </c>
      <c r="N7" s="11">
        <f>B19</f>
        <v>14.166666666666668</v>
      </c>
      <c r="O7" s="11">
        <f t="shared" si="6"/>
        <v>0</v>
      </c>
      <c r="P7" s="2"/>
    </row>
    <row r="8" spans="1:16" x14ac:dyDescent="0.35">
      <c r="A8" s="10">
        <v>7</v>
      </c>
      <c r="B8" s="11">
        <v>3.6</v>
      </c>
      <c r="C8" s="11">
        <v>8</v>
      </c>
      <c r="D8" s="11">
        <v>5</v>
      </c>
      <c r="E8" s="11">
        <v>3</v>
      </c>
      <c r="F8" s="11">
        <f t="shared" si="0"/>
        <v>5.166666666666667</v>
      </c>
      <c r="G8" s="11">
        <f t="shared" si="1"/>
        <v>0.83333333333333337</v>
      </c>
      <c r="H8" s="11">
        <f t="shared" si="2"/>
        <v>0.69444444444444453</v>
      </c>
      <c r="I8" s="11">
        <f>B19</f>
        <v>14.166666666666668</v>
      </c>
      <c r="J8" s="11">
        <f t="shared" si="3"/>
        <v>19.333333333333336</v>
      </c>
      <c r="K8" s="11">
        <f t="shared" si="4"/>
        <v>14.166666666666668</v>
      </c>
      <c r="L8" s="11">
        <f>C21</f>
        <v>19.333333333333336</v>
      </c>
      <c r="M8" s="11">
        <f t="shared" si="5"/>
        <v>0</v>
      </c>
      <c r="N8" s="11">
        <f>B21</f>
        <v>19.333333333333336</v>
      </c>
      <c r="O8" s="11">
        <f t="shared" si="6"/>
        <v>0</v>
      </c>
      <c r="P8" s="2"/>
    </row>
    <row r="9" spans="1:16" x14ac:dyDescent="0.35">
      <c r="A9" s="10">
        <v>8</v>
      </c>
      <c r="B9" s="11">
        <v>7</v>
      </c>
      <c r="C9" s="11">
        <v>9</v>
      </c>
      <c r="D9" s="11">
        <v>6</v>
      </c>
      <c r="E9" s="11">
        <v>1</v>
      </c>
      <c r="F9" s="11">
        <f t="shared" si="0"/>
        <v>5.666666666666667</v>
      </c>
      <c r="G9" s="11">
        <f t="shared" si="1"/>
        <v>1.3333333333333333</v>
      </c>
      <c r="H9" s="11">
        <f t="shared" si="2"/>
        <v>1.7777777777777777</v>
      </c>
      <c r="I9" s="11">
        <f>B21</f>
        <v>19.333333333333336</v>
      </c>
      <c r="J9" s="11">
        <f t="shared" si="3"/>
        <v>25.000000000000004</v>
      </c>
      <c r="K9" s="11">
        <f t="shared" si="4"/>
        <v>19.333333333333336</v>
      </c>
      <c r="L9" s="11">
        <f>C22</f>
        <v>25.000000000000004</v>
      </c>
      <c r="M9" s="11">
        <f t="shared" si="5"/>
        <v>0</v>
      </c>
      <c r="N9" s="11">
        <f>B22</f>
        <v>25.000000000000004</v>
      </c>
      <c r="O9" s="11">
        <f t="shared" si="6"/>
        <v>0</v>
      </c>
      <c r="P9" s="2"/>
    </row>
    <row r="10" spans="1:16" x14ac:dyDescent="0.35">
      <c r="A10" s="1">
        <v>9</v>
      </c>
      <c r="B10" s="4">
        <v>7</v>
      </c>
      <c r="C10" s="4">
        <v>12</v>
      </c>
      <c r="D10" s="4">
        <v>8</v>
      </c>
      <c r="E10" s="4">
        <v>4</v>
      </c>
      <c r="F10" s="8">
        <f t="shared" si="0"/>
        <v>8</v>
      </c>
      <c r="G10" s="4">
        <f t="shared" si="1"/>
        <v>1.3333333333333333</v>
      </c>
      <c r="H10" s="4">
        <f t="shared" si="2"/>
        <v>1.7777777777777777</v>
      </c>
      <c r="I10" s="4">
        <f>B21</f>
        <v>19.333333333333336</v>
      </c>
      <c r="J10" s="4">
        <f t="shared" si="3"/>
        <v>27.333333333333336</v>
      </c>
      <c r="K10" s="4">
        <f t="shared" si="4"/>
        <v>23.333333333333336</v>
      </c>
      <c r="L10" s="4">
        <f>C23</f>
        <v>31.333333333333336</v>
      </c>
      <c r="M10" s="4">
        <f t="shared" si="5"/>
        <v>4</v>
      </c>
      <c r="N10" s="4">
        <f>B23</f>
        <v>31.333333333333336</v>
      </c>
      <c r="O10" s="4">
        <f t="shared" si="6"/>
        <v>4</v>
      </c>
      <c r="P10" s="2"/>
    </row>
    <row r="11" spans="1:16" x14ac:dyDescent="0.35">
      <c r="A11" s="10">
        <v>10</v>
      </c>
      <c r="B11" s="11" t="s">
        <v>15</v>
      </c>
      <c r="C11" s="11">
        <v>11</v>
      </c>
      <c r="D11" s="11">
        <v>6</v>
      </c>
      <c r="E11" s="11">
        <v>3</v>
      </c>
      <c r="F11" s="11">
        <f t="shared" si="0"/>
        <v>6.333333333333333</v>
      </c>
      <c r="G11" s="11">
        <f t="shared" si="1"/>
        <v>1.3333333333333333</v>
      </c>
      <c r="H11" s="11">
        <f t="shared" si="2"/>
        <v>1.7777777777777777</v>
      </c>
      <c r="I11" s="11">
        <f>B22</f>
        <v>25.000000000000004</v>
      </c>
      <c r="J11" s="11">
        <f t="shared" si="3"/>
        <v>31.333333333333336</v>
      </c>
      <c r="K11" s="11">
        <f t="shared" si="4"/>
        <v>25.000000000000004</v>
      </c>
      <c r="L11" s="11">
        <f>C23</f>
        <v>31.333333333333336</v>
      </c>
      <c r="M11" s="11">
        <f t="shared" si="5"/>
        <v>0</v>
      </c>
      <c r="N11" s="11">
        <f>B23</f>
        <v>31.333333333333336</v>
      </c>
      <c r="O11" s="11">
        <f t="shared" si="6"/>
        <v>0</v>
      </c>
      <c r="P11" s="2"/>
    </row>
    <row r="12" spans="1:16" x14ac:dyDescent="0.35">
      <c r="A12" s="10">
        <v>11</v>
      </c>
      <c r="B12" s="11">
        <v>9.1</v>
      </c>
      <c r="C12" s="11">
        <v>13</v>
      </c>
      <c r="D12" s="11">
        <v>10</v>
      </c>
      <c r="E12" s="11">
        <v>7</v>
      </c>
      <c r="F12" s="11">
        <f t="shared" si="0"/>
        <v>10</v>
      </c>
      <c r="G12" s="11">
        <f t="shared" si="1"/>
        <v>1</v>
      </c>
      <c r="H12" s="11">
        <f t="shared" si="2"/>
        <v>1</v>
      </c>
      <c r="I12" s="11">
        <f>B23</f>
        <v>31.333333333333336</v>
      </c>
      <c r="J12" s="11">
        <f t="shared" si="3"/>
        <v>41.333333333333336</v>
      </c>
      <c r="K12" s="11">
        <f t="shared" si="4"/>
        <v>31.333333333333336</v>
      </c>
      <c r="L12" s="11">
        <f>C24</f>
        <v>41.333333333333336</v>
      </c>
      <c r="M12" s="11">
        <f t="shared" si="5"/>
        <v>0</v>
      </c>
      <c r="N12" s="11">
        <f>B24</f>
        <v>41.333333333333336</v>
      </c>
      <c r="O12" s="11">
        <f t="shared" si="6"/>
        <v>0</v>
      </c>
      <c r="P12" s="2"/>
    </row>
    <row r="13" spans="1:16" x14ac:dyDescent="0.35">
      <c r="A13" s="4">
        <v>12</v>
      </c>
      <c r="B13" s="4">
        <v>4.5</v>
      </c>
      <c r="C13" s="4">
        <v>16</v>
      </c>
      <c r="D13" s="4">
        <v>14</v>
      </c>
      <c r="E13" s="4">
        <v>8</v>
      </c>
      <c r="F13" s="8">
        <f t="shared" si="0"/>
        <v>13.333333333333334</v>
      </c>
      <c r="G13" s="4">
        <f t="shared" si="1"/>
        <v>1.3333333333333333</v>
      </c>
      <c r="H13" s="4">
        <f t="shared" si="2"/>
        <v>1.7777777777777777</v>
      </c>
      <c r="I13" s="4">
        <f>B20</f>
        <v>20</v>
      </c>
      <c r="J13" s="4">
        <f t="shared" si="3"/>
        <v>33.333333333333336</v>
      </c>
      <c r="K13" s="4">
        <f t="shared" si="4"/>
        <v>28</v>
      </c>
      <c r="L13" s="4">
        <f>C24</f>
        <v>41.333333333333336</v>
      </c>
      <c r="M13" s="4">
        <f t="shared" si="5"/>
        <v>8.0000000000000018</v>
      </c>
      <c r="N13" s="4">
        <f>B24</f>
        <v>41.333333333333336</v>
      </c>
      <c r="O13" s="4">
        <f t="shared" si="6"/>
        <v>8.0000000000000018</v>
      </c>
      <c r="P13" s="2"/>
    </row>
    <row r="14" spans="1:16" x14ac:dyDescent="0.35">
      <c r="F14" s="5"/>
      <c r="G14" s="5"/>
      <c r="H14" s="6"/>
    </row>
    <row r="15" spans="1:16" x14ac:dyDescent="0.35">
      <c r="B15" s="5" t="s">
        <v>5</v>
      </c>
      <c r="C15" s="5" t="s">
        <v>6</v>
      </c>
      <c r="D15" s="6"/>
      <c r="E15" s="6"/>
      <c r="F15" s="5"/>
      <c r="G15" s="9" t="s">
        <v>16</v>
      </c>
      <c r="H15" s="6">
        <v>40</v>
      </c>
      <c r="I15" s="6"/>
      <c r="J15" s="6"/>
      <c r="K15" s="6"/>
      <c r="L15" s="6"/>
      <c r="M15" s="6"/>
      <c r="N15" s="6"/>
      <c r="O15" s="6"/>
    </row>
    <row r="16" spans="1:16" x14ac:dyDescent="0.35">
      <c r="A16" s="5">
        <v>1</v>
      </c>
      <c r="B16" s="6">
        <v>0</v>
      </c>
      <c r="C16" s="6">
        <v>0</v>
      </c>
      <c r="D16" s="6"/>
      <c r="E16" s="6"/>
      <c r="F16" s="5"/>
      <c r="G16" s="6" t="s">
        <v>17</v>
      </c>
      <c r="H16" s="6">
        <f>SUM(H2:H13)</f>
        <v>23.305555555555557</v>
      </c>
      <c r="I16" s="6"/>
      <c r="J16" s="6"/>
      <c r="K16" s="6"/>
      <c r="L16" s="6"/>
      <c r="M16" s="6"/>
      <c r="N16" s="6"/>
      <c r="O16" s="6"/>
    </row>
    <row r="17" spans="1:15" x14ac:dyDescent="0.35">
      <c r="A17" s="6">
        <v>2</v>
      </c>
      <c r="B17" s="6">
        <f>B16+F2</f>
        <v>10.333333333333334</v>
      </c>
      <c r="C17" s="6">
        <f>C20-F5</f>
        <v>19.5</v>
      </c>
      <c r="D17" s="6"/>
      <c r="E17" s="6"/>
      <c r="F17" s="5"/>
      <c r="G17" s="6" t="s">
        <v>18</v>
      </c>
      <c r="H17" s="6">
        <f>SQRT(H16)</f>
        <v>4.8275827859867464</v>
      </c>
      <c r="I17" s="6"/>
      <c r="J17" s="6"/>
      <c r="K17" s="6"/>
      <c r="L17" s="6"/>
      <c r="M17" s="6"/>
      <c r="N17" s="6"/>
      <c r="O17" s="6"/>
    </row>
    <row r="18" spans="1:15" x14ac:dyDescent="0.35">
      <c r="A18" s="6">
        <v>3</v>
      </c>
      <c r="B18" s="6">
        <f>B16+F3</f>
        <v>7.666666666666667</v>
      </c>
      <c r="C18" s="6">
        <f>MIN(C20-F6,C19-F7)</f>
        <v>7.6666666666666679</v>
      </c>
      <c r="D18" s="6"/>
      <c r="E18" s="6"/>
      <c r="F18" s="5"/>
      <c r="G18" s="6" t="s">
        <v>19</v>
      </c>
      <c r="H18" s="6">
        <f>NORMSDIST((H15-C24)/H17)</f>
        <v>0.39120081072145008</v>
      </c>
      <c r="I18" s="6"/>
      <c r="J18" s="6"/>
      <c r="K18" s="6"/>
      <c r="L18" s="6"/>
      <c r="M18" s="6"/>
      <c r="N18" s="6"/>
      <c r="O18" s="6"/>
    </row>
    <row r="19" spans="1:15" x14ac:dyDescent="0.35">
      <c r="A19" s="6">
        <v>4</v>
      </c>
      <c r="B19" s="6">
        <f>MAX(B18+F7,B16+F4)</f>
        <v>14.166666666666668</v>
      </c>
      <c r="C19" s="6">
        <f>C21-F8</f>
        <v>14.166666666666668</v>
      </c>
      <c r="D19" s="6"/>
      <c r="E19" s="6"/>
      <c r="F19" s="5"/>
      <c r="G19" s="6"/>
      <c r="H19" s="6"/>
      <c r="I19" s="6"/>
      <c r="J19" s="6"/>
      <c r="K19" s="6"/>
      <c r="L19" s="6"/>
      <c r="M19" s="6"/>
      <c r="N19" s="6"/>
      <c r="O19" s="6"/>
    </row>
    <row r="20" spans="1:15" x14ac:dyDescent="0.35">
      <c r="A20" s="6">
        <v>5</v>
      </c>
      <c r="B20" s="6">
        <f>MAX(B17+F5,B18+F6)</f>
        <v>20</v>
      </c>
      <c r="C20" s="6">
        <f>C24-F13</f>
        <v>28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spans="1:15" x14ac:dyDescent="0.35">
      <c r="A21" s="6">
        <v>6</v>
      </c>
      <c r="B21" s="6">
        <f>B19+F8</f>
        <v>19.333333333333336</v>
      </c>
      <c r="C21" s="6">
        <f>MIN(C23-F10,C22-F9)</f>
        <v>19.333333333333336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spans="1:15" x14ac:dyDescent="0.35">
      <c r="A22" s="6">
        <v>7</v>
      </c>
      <c r="B22" s="6">
        <f>MAX(B20,B21+F9)</f>
        <v>25.000000000000004</v>
      </c>
      <c r="C22" s="6">
        <f>C23-F11</f>
        <v>25.000000000000004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spans="1:15" x14ac:dyDescent="0.35">
      <c r="A23" s="6">
        <v>8</v>
      </c>
      <c r="B23" s="6">
        <f>MAX(B21+F10,B22+F11)</f>
        <v>31.333333333333336</v>
      </c>
      <c r="C23" s="6">
        <f>C24-F12</f>
        <v>31.333333333333336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spans="1:15" x14ac:dyDescent="0.35">
      <c r="A24" s="6">
        <v>9</v>
      </c>
      <c r="B24" s="6">
        <f>MAX(B23+F12, B20+F13)</f>
        <v>41.333333333333336</v>
      </c>
      <c r="C24" s="6">
        <f>B24</f>
        <v>41.333333333333336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spans="1:15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spans="1:15" x14ac:dyDescent="0.35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spans="1:15" x14ac:dyDescent="0.35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spans="1:15" x14ac:dyDescent="0.35">
      <c r="A28" s="7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Веточка</dc:creator>
  <cp:lastModifiedBy>Веточка</cp:lastModifiedBy>
  <dcterms:created xsi:type="dcterms:W3CDTF">2025-10-30T10:36:04Z</dcterms:created>
  <dcterms:modified xsi:type="dcterms:W3CDTF">2025-11-14T07:28:14Z</dcterms:modified>
</cp:coreProperties>
</file>